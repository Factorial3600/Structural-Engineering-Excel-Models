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PC\Documents\Structural-Engineering-Excel-Models\Beam-Analysis-Simply-Supported\"/>
    </mc:Choice>
  </mc:AlternateContent>
  <xr:revisionPtr revIDLastSave="0" documentId="8_{85733058-206A-4BA8-9464-FF4342367675}" xr6:coauthVersionLast="47" xr6:coauthVersionMax="47" xr10:uidLastSave="{00000000-0000-0000-0000-000000000000}"/>
  <bookViews>
    <workbookView xWindow="-108" yWindow="-108" windowWidth="23256" windowHeight="12456" xr2:uid="{0253C1DF-DCE0-414E-8E99-56797880AC82}"/>
  </bookViews>
  <sheets>
    <sheet name="Beam_Analysis_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14" i="1" s="1"/>
  <c r="B22" i="1" s="1"/>
  <c r="B21" i="1"/>
  <c r="B17" i="1"/>
  <c r="B18" i="1"/>
  <c r="B19" i="1"/>
  <c r="B11" i="1"/>
  <c r="B16" i="1" l="1"/>
  <c r="B12" i="1"/>
</calcChain>
</file>

<file path=xl/sharedStrings.xml><?xml version="1.0" encoding="utf-8"?>
<sst xmlns="http://schemas.openxmlformats.org/spreadsheetml/2006/main" count="30" uniqueCount="23">
  <si>
    <t>BEAM ANALYSIS – SIMPLY SUPPORTED BEAM</t>
  </si>
  <si>
    <t>INPUT DATA</t>
  </si>
  <si>
    <t>SPAN OF BEAM, L (m)</t>
  </si>
  <si>
    <t>DEAD LOAD GK (KN/m)</t>
  </si>
  <si>
    <t>IMPOSE LOAD QK(KN/m)</t>
  </si>
  <si>
    <t>kN/m</t>
  </si>
  <si>
    <t>KN/m</t>
  </si>
  <si>
    <t>kNm</t>
  </si>
  <si>
    <t xml:space="preserve">TOTAL DESIGN LOAD , </t>
  </si>
  <si>
    <t>KN</t>
  </si>
  <si>
    <t>Maximum Bending Moment, M (kNm)</t>
  </si>
  <si>
    <t xml:space="preserve"> Maximum Shear Force, V (kN)</t>
  </si>
  <si>
    <t>Span (m)</t>
  </si>
  <si>
    <t xml:space="preserve"> Bending Moment (kNm)</t>
  </si>
  <si>
    <t>m</t>
  </si>
  <si>
    <t xml:space="preserve"> Modulus of Elasticity, E (kN/m²</t>
  </si>
  <si>
    <t>Second Moment of Area, I (m⁴)</t>
  </si>
  <si>
    <t xml:space="preserve"> Maximum Deflection, δ (m)</t>
  </si>
  <si>
    <t xml:space="preserve"> Allowable Deflection (L/250) (m)</t>
  </si>
  <si>
    <t>Deflection Check</t>
  </si>
  <si>
    <t>RESULT</t>
  </si>
  <si>
    <t>INPUT</t>
  </si>
  <si>
    <t>beam123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</si>
</sst>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6" borderId="0" xfId="0" applyFill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3" borderId="1" xfId="0" applyFont="1" applyFill="1" applyBorder="1"/>
    <xf numFmtId="2" fontId="0" fillId="6" borderId="1" xfId="0" applyNumberFormat="1" applyFill="1" applyBorder="1"/>
    <xf numFmtId="164" fontId="0" fillId="6" borderId="1" xfId="0" applyNumberFormat="1" applyFill="1" applyBorder="1"/>
    <xf numFmtId="0" fontId="0" fillId="6" borderId="1" xfId="0" applyFill="1" applyBorder="1"/>
    <xf numFmtId="164" fontId="0" fillId="4" borderId="1" xfId="0" applyNumberFormat="1" applyFill="1" applyBorder="1"/>
    <xf numFmtId="2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Effect of Span on Bending Moment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Beam_Analysis_SS!$B$15</c:f>
              <c:strCache>
                <c:ptCount val="1"/>
                <c:pt idx="0">
                  <c:v> Bending Moment (kNm)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Beam_Analysis_SS!$A$16:$A$19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Beam_Analysis_SS!$B$16:$B$19</c:f>
              <c:numCache>
                <c:formatCode>General</c:formatCode>
                <c:ptCount val="4"/>
                <c:pt idx="0">
                  <c:v>34</c:v>
                </c:pt>
                <c:pt idx="1">
                  <c:v>53.125</c:v>
                </c:pt>
                <c:pt idx="2">
                  <c:v>76.5</c:v>
                </c:pt>
                <c:pt idx="3">
                  <c:v>104.125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D-4801-A974-61DC069D8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126916623"/>
        <c:axId val="1126919023"/>
      </c:lineChart>
      <c:catAx>
        <c:axId val="1126916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Span (m)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47863757655293088"/>
              <c:y val="0.8843981481481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19023"/>
        <c:crosses val="autoZero"/>
        <c:auto val="1"/>
        <c:lblAlgn val="ctr"/>
        <c:lblOffset val="100"/>
        <c:noMultiLvlLbl val="0"/>
      </c:catAx>
      <c:valAx>
        <c:axId val="1126919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Bending Moment (kNm)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48024569845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1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167640</xdr:rowOff>
    </xdr:from>
    <xdr:to>
      <xdr:col>12</xdr:col>
      <xdr:colOff>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62F4A-B473-D8E7-A08B-79BDDC483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8F65-4ACE-4B51-AAEB-7D0762F0E068}">
  <dimension ref="A1:N24"/>
  <sheetViews>
    <sheetView tabSelected="1" zoomScaleNormal="100" workbookViewId="0">
      <pane ySplit="1" topLeftCell="A2" activePane="bottomLeft" state="frozen"/>
      <selection pane="bottomLeft" activeCell="A19" sqref="A19"/>
    </sheetView>
  </sheetViews>
  <sheetFormatPr defaultRowHeight="14.4" x14ac:dyDescent="0.3"/>
  <cols>
    <col min="1" max="1" width="37.21875" bestFit="1" customWidth="1"/>
    <col min="2" max="2" width="20.33203125" bestFit="1" customWidth="1"/>
    <col min="4" max="4" width="8.88671875" customWidth="1"/>
  </cols>
  <sheetData>
    <row r="1" spans="1:14" ht="21" x14ac:dyDescent="0.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t="s">
        <v>22</v>
      </c>
    </row>
    <row r="3" spans="1:14" x14ac:dyDescent="0.3">
      <c r="A3" s="4" t="s">
        <v>1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</row>
    <row r="4" spans="1:14" x14ac:dyDescent="0.3">
      <c r="A4" s="4" t="s">
        <v>2</v>
      </c>
      <c r="B4" s="12">
        <v>6</v>
      </c>
      <c r="C4" s="5" t="s">
        <v>14</v>
      </c>
      <c r="D4" s="6"/>
      <c r="E4" s="6"/>
      <c r="F4" s="6"/>
      <c r="G4" s="6"/>
      <c r="H4" s="6"/>
      <c r="I4" s="6"/>
      <c r="J4" s="6"/>
      <c r="K4" s="6"/>
      <c r="L4" s="6"/>
    </row>
    <row r="5" spans="1:14" x14ac:dyDescent="0.3">
      <c r="A5" s="4" t="s">
        <v>3</v>
      </c>
      <c r="B5" s="12">
        <v>12</v>
      </c>
      <c r="C5" s="5" t="s">
        <v>5</v>
      </c>
      <c r="D5" s="6"/>
      <c r="E5" s="6"/>
      <c r="F5" s="6"/>
      <c r="G5" s="6"/>
      <c r="H5" s="6"/>
      <c r="I5" s="6"/>
      <c r="J5" s="6"/>
      <c r="K5" s="6"/>
      <c r="L5" s="6"/>
    </row>
    <row r="6" spans="1:14" x14ac:dyDescent="0.3">
      <c r="A6" s="4" t="s">
        <v>4</v>
      </c>
      <c r="B6" s="12">
        <v>5</v>
      </c>
      <c r="C6" s="5" t="s">
        <v>5</v>
      </c>
      <c r="D6" s="6"/>
      <c r="E6" s="6"/>
      <c r="F6" s="6"/>
      <c r="G6" s="6"/>
      <c r="H6" s="6"/>
      <c r="I6" s="6"/>
      <c r="J6" s="6"/>
      <c r="K6" s="6"/>
      <c r="L6" s="6"/>
    </row>
    <row r="7" spans="1:14" x14ac:dyDescent="0.3">
      <c r="A7" s="4" t="s">
        <v>15</v>
      </c>
      <c r="B7" s="5">
        <v>25000000</v>
      </c>
      <c r="C7" s="5"/>
      <c r="D7" s="6"/>
      <c r="E7" s="6"/>
      <c r="F7" s="6"/>
      <c r="G7" s="6"/>
      <c r="H7" s="6"/>
      <c r="I7" s="6"/>
      <c r="J7" s="6"/>
      <c r="K7" s="6"/>
      <c r="L7" s="6"/>
    </row>
    <row r="8" spans="1:14" x14ac:dyDescent="0.3">
      <c r="A8" s="7" t="s">
        <v>16</v>
      </c>
      <c r="B8" s="5">
        <v>4.4999999999999999E-4</v>
      </c>
      <c r="C8" s="5"/>
      <c r="D8" s="6"/>
      <c r="E8" s="6"/>
      <c r="F8" s="6"/>
      <c r="G8" s="6"/>
      <c r="H8" s="6"/>
      <c r="I8" s="6"/>
      <c r="J8" s="6"/>
      <c r="K8" s="6"/>
      <c r="L8" s="6"/>
    </row>
    <row r="9" spans="1:14" x14ac:dyDescent="0.3">
      <c r="A9" s="4" t="s">
        <v>8</v>
      </c>
      <c r="B9" s="8">
        <f>B5+B6</f>
        <v>17</v>
      </c>
      <c r="C9" s="5" t="s">
        <v>6</v>
      </c>
      <c r="D9" s="6"/>
      <c r="E9" s="6"/>
      <c r="F9" s="6"/>
      <c r="G9" s="6"/>
      <c r="H9" s="6"/>
      <c r="I9" s="6"/>
      <c r="J9" s="6"/>
      <c r="K9" s="6"/>
      <c r="L9" s="6"/>
    </row>
    <row r="10" spans="1:14" x14ac:dyDescent="0.3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</row>
    <row r="11" spans="1:14" x14ac:dyDescent="0.3">
      <c r="A11" s="4" t="s">
        <v>10</v>
      </c>
      <c r="B11" s="8">
        <f>B9 * B4^2 / 8</f>
        <v>76.5</v>
      </c>
      <c r="C11" s="5" t="s">
        <v>7</v>
      </c>
      <c r="D11" s="6"/>
      <c r="E11" s="6"/>
      <c r="F11" s="6"/>
      <c r="G11" s="6"/>
      <c r="H11" s="6"/>
      <c r="I11" s="6"/>
      <c r="J11" s="6"/>
      <c r="K11" s="6"/>
      <c r="L11" s="6"/>
    </row>
    <row r="12" spans="1:14" x14ac:dyDescent="0.3">
      <c r="A12" s="4" t="s">
        <v>11</v>
      </c>
      <c r="B12" s="8">
        <f>B9 * B4 / 2</f>
        <v>51</v>
      </c>
      <c r="C12" s="5" t="s">
        <v>9</v>
      </c>
      <c r="D12" s="6"/>
      <c r="E12" s="6"/>
      <c r="F12" s="6"/>
      <c r="G12" s="6"/>
      <c r="H12" s="6"/>
      <c r="I12" s="6"/>
      <c r="J12" s="6"/>
      <c r="K12" s="6"/>
      <c r="L12" s="6"/>
    </row>
    <row r="13" spans="1:14" x14ac:dyDescent="0.3">
      <c r="A13" s="4"/>
      <c r="B13" s="5"/>
      <c r="C13" s="5"/>
      <c r="D13" s="6"/>
      <c r="E13" s="6"/>
      <c r="F13" s="6"/>
      <c r="G13" s="6"/>
      <c r="H13" s="6"/>
      <c r="I13" s="6"/>
      <c r="J13" s="6"/>
      <c r="K13" s="6"/>
      <c r="L13" s="6"/>
    </row>
    <row r="14" spans="1:14" x14ac:dyDescent="0.3">
      <c r="A14" s="4" t="s">
        <v>17</v>
      </c>
      <c r="B14" s="9">
        <f xml:space="preserve"> (5 * B9 * B4^4) / (384 * B7 * B8)</f>
        <v>2.5499999999999998E-2</v>
      </c>
      <c r="C14" s="5" t="s">
        <v>14</v>
      </c>
      <c r="D14" s="6"/>
      <c r="E14" s="6"/>
      <c r="F14" s="6"/>
      <c r="G14" s="6"/>
      <c r="H14" s="6"/>
      <c r="I14" s="6"/>
      <c r="J14" s="6"/>
      <c r="K14" s="6"/>
      <c r="L14" s="6"/>
    </row>
    <row r="15" spans="1:14" x14ac:dyDescent="0.3">
      <c r="A15" s="4" t="s">
        <v>12</v>
      </c>
      <c r="B15" s="5" t="s">
        <v>13</v>
      </c>
      <c r="C15" s="5"/>
      <c r="D15" s="6"/>
      <c r="E15" s="6"/>
      <c r="F15" s="6"/>
      <c r="G15" s="6"/>
      <c r="H15" s="6"/>
      <c r="I15" s="6"/>
      <c r="J15" s="6"/>
      <c r="K15" s="6"/>
      <c r="L15" s="6"/>
    </row>
    <row r="16" spans="1:14" x14ac:dyDescent="0.3">
      <c r="A16" s="13">
        <v>4</v>
      </c>
      <c r="B16" s="10">
        <f xml:space="preserve"> $B$9 * A16^2 / 8</f>
        <v>34</v>
      </c>
      <c r="C16" s="5" t="s">
        <v>6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13">
        <v>5</v>
      </c>
      <c r="B17" s="10">
        <f t="shared" ref="B17:B19" si="0" xml:space="preserve"> $B$9 * A17^2 / 8</f>
        <v>53.125</v>
      </c>
      <c r="C17" s="5" t="s">
        <v>6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">
      <c r="A18" s="13">
        <v>6</v>
      </c>
      <c r="B18" s="10">
        <f t="shared" si="0"/>
        <v>76.5</v>
      </c>
      <c r="C18" s="5" t="s">
        <v>6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">
      <c r="A19" s="13">
        <v>7</v>
      </c>
      <c r="B19" s="10">
        <f t="shared" si="0"/>
        <v>104.125</v>
      </c>
      <c r="C19" s="5" t="s">
        <v>6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">
      <c r="A20" s="4"/>
      <c r="B20" s="5"/>
      <c r="C20" s="5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">
      <c r="A21" s="4" t="s">
        <v>18</v>
      </c>
      <c r="B21" s="11">
        <f>B4 / 250</f>
        <v>2.4E-2</v>
      </c>
      <c r="C21" s="5" t="s">
        <v>14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3">
      <c r="A22" s="4" t="s">
        <v>19</v>
      </c>
      <c r="B22" s="5" t="str">
        <f xml:space="preserve"> IF(B14 &lt;= B20, "PASS", "FAIL")</f>
        <v>FAIL</v>
      </c>
      <c r="C22" s="5"/>
      <c r="D22" s="6"/>
      <c r="E22" s="6"/>
      <c r="F22" s="6"/>
      <c r="G22" s="6"/>
      <c r="H22" s="6"/>
      <c r="I22" s="6"/>
      <c r="J22" s="6"/>
      <c r="K22" s="6"/>
      <c r="L22" s="6"/>
    </row>
    <row r="24" spans="1:12" x14ac:dyDescent="0.3">
      <c r="A24" s="1" t="s">
        <v>21</v>
      </c>
      <c r="B24" s="2" t="s">
        <v>20</v>
      </c>
    </row>
  </sheetData>
  <sheetProtection algorithmName="SHA-512" hashValue="oR2OC/U1tUPuopximv7yUjwqIu0+3VPoU3hHKHH+beiUop+kqOw2r3MycYNlgAnFtQe1/g76BqBuxWQ/s6Vmrw==" saltValue="D5CWgVFXrctgJ4/UaGvQWw==" spinCount="100000" sheet="1" objects="1" scenarios="1" selectLockedCells="1"/>
  <mergeCells count="1">
    <mergeCell ref="A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Beam_Analysis_SS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FACTORIAL 360</dc:creator>
  <cp:lastModifiedBy>FACTORIAL 360</cp:lastModifiedBy>
  <dcterms:created xsi:type="dcterms:W3CDTF">2025-12-16T10:39:56Z</dcterms:created>
  <dcterms:modified xsi:type="dcterms:W3CDTF">2025-12-17T17:25:47Z</dcterms:modified>
</cp:coreProperties>
</file>